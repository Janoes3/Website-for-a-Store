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3a/Week 18/"/>
    </mc:Choice>
  </mc:AlternateContent>
  <xr:revisionPtr revIDLastSave="0" documentId="8_{4D1BA144-B6D6-4A7F-A36F-5FE4D6B964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2" i="1" l="1"/>
  <c r="O107" i="1"/>
  <c r="O108" i="1"/>
  <c r="O109" i="1"/>
  <c r="O110" i="1"/>
  <c r="C118" i="1"/>
  <c r="B113" i="1"/>
  <c r="B114" i="1"/>
  <c r="B115" i="1"/>
  <c r="B116" i="1"/>
  <c r="B118" i="1" l="1"/>
  <c r="D118" i="1" s="1"/>
  <c r="O111" i="1"/>
</calcChain>
</file>

<file path=xl/sharedStrings.xml><?xml version="1.0" encoding="utf-8"?>
<sst xmlns="http://schemas.openxmlformats.org/spreadsheetml/2006/main" count="893" uniqueCount="175">
  <si>
    <t>Year</t>
  </si>
  <si>
    <t>Status</t>
  </si>
  <si>
    <t>Role</t>
  </si>
  <si>
    <t>Department</t>
  </si>
  <si>
    <t>Director</t>
  </si>
  <si>
    <t>Manager</t>
  </si>
  <si>
    <t>Supervisor</t>
  </si>
  <si>
    <t>Lead</t>
  </si>
  <si>
    <t>Staff</t>
  </si>
  <si>
    <t>Question</t>
  </si>
  <si>
    <t>Answer_Numeric</t>
  </si>
  <si>
    <t>Answer_Text</t>
  </si>
  <si>
    <t>Improvement_Comments</t>
  </si>
  <si>
    <t>Themes</t>
  </si>
  <si>
    <t>2019 May</t>
  </si>
  <si>
    <t>Complete</t>
  </si>
  <si>
    <t>Assessor-Treasurer's Office</t>
  </si>
  <si>
    <t>01. I know what is expected of me at work.</t>
  </si>
  <si>
    <t>Strongly Agree</t>
  </si>
  <si>
    <t>Decisions are not always communicated transparently. (9)</t>
  </si>
  <si>
    <t>transperency, communication</t>
  </si>
  <si>
    <t>Communication</t>
  </si>
  <si>
    <t>2020 Jun</t>
  </si>
  <si>
    <t>Human Services</t>
  </si>
  <si>
    <t>07. At work, my opinions seem to count.</t>
  </si>
  <si>
    <t>Agree</t>
  </si>
  <si>
    <t>Important information often arrives too late. (0)</t>
  </si>
  <si>
    <t>communication/time</t>
  </si>
  <si>
    <t>2021 May</t>
  </si>
  <si>
    <t>We need clearer updates from leadership. (3)</t>
  </si>
  <si>
    <t>updates/expectation</t>
  </si>
  <si>
    <t>Exec Office &amp; Directors</t>
  </si>
  <si>
    <t>We need clearer updates from leadership. (5)</t>
  </si>
  <si>
    <t>leadership, clarity</t>
  </si>
  <si>
    <t>Communication about priorities could be more consistent. (8)</t>
  </si>
  <si>
    <t>communication, consistency</t>
  </si>
  <si>
    <t>We need clearer updates from leadership. (25)</t>
  </si>
  <si>
    <t>clarity, management</t>
  </si>
  <si>
    <t>District Court</t>
  </si>
  <si>
    <t>Sometimes expectations are not fully clear. (26)</t>
  </si>
  <si>
    <t>Important information often arrives too late. (29)</t>
  </si>
  <si>
    <t>time,</t>
  </si>
  <si>
    <t>Workload is uneven across teams. (30)</t>
  </si>
  <si>
    <t>workloads</t>
  </si>
  <si>
    <t>Communication could improve, and workloads also need better balance. (31)</t>
  </si>
  <si>
    <t>communication, workloads</t>
  </si>
  <si>
    <t>Decisions are not always communicated transparently. (37)</t>
  </si>
  <si>
    <t>communication, clarity</t>
  </si>
  <si>
    <t>Communication could improve, and workloads also need better balance. (40)</t>
  </si>
  <si>
    <t>communicaion, workloads</t>
  </si>
  <si>
    <t>Morale is affected by poor communication and inconsistent leadership. (41)</t>
  </si>
  <si>
    <t>communiction, consistency</t>
  </si>
  <si>
    <t>Recognition is limited, and processes are often slow or unclear. (49)</t>
  </si>
  <si>
    <t>recognition, clarity</t>
  </si>
  <si>
    <t>Assigned Council</t>
  </si>
  <si>
    <t>A few processes could be reviewed for clarity. (54)</t>
  </si>
  <si>
    <t>clarity</t>
  </si>
  <si>
    <t>Communication about priorities could be more consistent. (59)</t>
  </si>
  <si>
    <t>Strongly Disagree</t>
  </si>
  <si>
    <t>Important information often arrives too late. (62)</t>
  </si>
  <si>
    <t>time, communication</t>
  </si>
  <si>
    <t>Communication about priorities could be more consistent. (63)</t>
  </si>
  <si>
    <t>Important information often arrives too late. (66)</t>
  </si>
  <si>
    <t>communiation, time</t>
  </si>
  <si>
    <t>Decisions are not always communicated transparently. (80)</t>
  </si>
  <si>
    <t>Important information often arrives too late. (85)</t>
  </si>
  <si>
    <t>Important information often arrives too late. (91)</t>
  </si>
  <si>
    <t>Clerk of Superior Court</t>
  </si>
  <si>
    <t>Decisions are not always communicated transparently. (96)</t>
  </si>
  <si>
    <t>A few processes could be reviewed for clarity. (99)</t>
  </si>
  <si>
    <t>Leadership expectations sometimes feel unclear. (1)</t>
  </si>
  <si>
    <t>leadership/expectation</t>
  </si>
  <si>
    <t>Management</t>
  </si>
  <si>
    <t>Superior Court</t>
  </si>
  <si>
    <t>Managers should provide more consistent support. (2)</t>
  </si>
  <si>
    <t>management/consistency/support</t>
  </si>
  <si>
    <t>Managers should provide more consistent support. (6)</t>
  </si>
  <si>
    <t>consistency,support</t>
  </si>
  <si>
    <t>Managers should provide more consistent support. (13)</t>
  </si>
  <si>
    <t>We need clearer guidance from managers and better tools to do the job. (15)</t>
  </si>
  <si>
    <t xml:space="preserve">clarity, </t>
  </si>
  <si>
    <t>We need clearer guidance from managers and better tools to do the job. (16)</t>
  </si>
  <si>
    <t>Leadership expectations sometimes feel unclear. (28)</t>
  </si>
  <si>
    <t>leasership,clarity</t>
  </si>
  <si>
    <t>We need more resources to meet rising demand. (32)</t>
  </si>
  <si>
    <t xml:space="preserve">resources, </t>
  </si>
  <si>
    <t>We need clearer updates from leadership. (35)</t>
  </si>
  <si>
    <t>Leadership expectations sometimes feel unclear. (42)</t>
  </si>
  <si>
    <t>Leadership expectations sometimes feel unclear. (43)</t>
  </si>
  <si>
    <t>Disagree</t>
  </si>
  <si>
    <t>We need clearer updates from leadership. (44)</t>
  </si>
  <si>
    <t>Leadership expectations sometimes feel unclear. (46)</t>
  </si>
  <si>
    <t>We need clearer guidance from managers and better tools to do the job. (58)</t>
  </si>
  <si>
    <t>clarity, leadership</t>
  </si>
  <si>
    <t>We need clearer guidance from managers and better tools to do the job. (61)</t>
  </si>
  <si>
    <t>Partial</t>
  </si>
  <si>
    <t>I would like more visible leadership. (71)</t>
  </si>
  <si>
    <t>leadership</t>
  </si>
  <si>
    <t>We need clearer guidance from managers and better tools to do the job. (73)</t>
  </si>
  <si>
    <t>Sometimes expectations are not fully clear. (74)</t>
  </si>
  <si>
    <t>We need clearer updates from leadership. (75)</t>
  </si>
  <si>
    <t>We need clearer updates from leadership. (76)</t>
  </si>
  <si>
    <t>Fairness varies between different managers. (78)</t>
  </si>
  <si>
    <t>We need clearer updates from leadership. (79)</t>
  </si>
  <si>
    <t>We need more resources to meet rising demand. (83)</t>
  </si>
  <si>
    <t>We need clearer updates from leadership. (84)</t>
  </si>
  <si>
    <t>Sometimes expectations are not fully clear. (87)</t>
  </si>
  <si>
    <t>I would like more visible leadership. (89)</t>
  </si>
  <si>
    <t>Some aspects of the organisation could run more smoothly. (92)</t>
  </si>
  <si>
    <t>We need clearer guidance from managers and better tools to do the job. (95)</t>
  </si>
  <si>
    <t>I would like more visible leadership. (98)</t>
  </si>
  <si>
    <t>Some aspects of the organisation could run more smoothly. (7)</t>
  </si>
  <si>
    <t>performance, consistency</t>
  </si>
  <si>
    <t>Performance</t>
  </si>
  <si>
    <t>Morale is affected by poor communication and inconsistent leadership. (10)</t>
  </si>
  <si>
    <t>Communication could improve, and workloads also need better balance. (11)</t>
  </si>
  <si>
    <t>communication,balance</t>
  </si>
  <si>
    <t>There are not enough staff during busy periods. (14)</t>
  </si>
  <si>
    <t>Team culture could be more collaborative. (17)</t>
  </si>
  <si>
    <t>collaboration</t>
  </si>
  <si>
    <t>Communication could improve, and workloads also need better balance. (20)</t>
  </si>
  <si>
    <t>Processes feel inefficient and outdated. (27)</t>
  </si>
  <si>
    <t>efficiency</t>
  </si>
  <si>
    <t>There are not enough staff during busy periods. (33)</t>
  </si>
  <si>
    <t>There are opportunities to improve how we work together. (38)</t>
  </si>
  <si>
    <t>Team culture could be more collaborative. (48)</t>
  </si>
  <si>
    <t>Morale is affected by poor communication and inconsistent leadership. (50)</t>
  </si>
  <si>
    <t>communication, leadership</t>
  </si>
  <si>
    <t>Processes feel inefficient and outdated. (55)</t>
  </si>
  <si>
    <t>Communication could improve, and workloads also need better balance. (56)</t>
  </si>
  <si>
    <t>There are opportunities to improve how we work together. (57)</t>
  </si>
  <si>
    <t>Morale is affected by poor communication and inconsistent leadership. (60)</t>
  </si>
  <si>
    <t>consistency,support, communication</t>
  </si>
  <si>
    <t>Morale is affected by poor communication and inconsistent leadership. (64)</t>
  </si>
  <si>
    <t>morale, communication, consistency</t>
  </si>
  <si>
    <t>Morale is affected by poor communication and inconsistent leadership. (69)</t>
  </si>
  <si>
    <t>communication,consistency, leadereship</t>
  </si>
  <si>
    <t>Morale is affected by poor communication and inconsistent leadership. (70)</t>
  </si>
  <si>
    <t>Morale is affected by poor communication and inconsistent leadership. (77)</t>
  </si>
  <si>
    <t>Morale is affected by poor communication and inconsistent leadership. (82)</t>
  </si>
  <si>
    <t>Morale has dipped recently and needs attention. (86)</t>
  </si>
  <si>
    <t>Morale is affected by poor communication and inconsistent leadership. (90)</t>
  </si>
  <si>
    <t>Processes feel inefficient and outdated. (93)</t>
  </si>
  <si>
    <t>Communication could improve, and workloads also need better balance. (94)</t>
  </si>
  <si>
    <t>Communication could improve, and workloads also need better balance. (97)</t>
  </si>
  <si>
    <t>Good work is not always recognised. (4)</t>
  </si>
  <si>
    <t>recognition/expectation</t>
  </si>
  <si>
    <t>Recognition is limited, and processes are often slow or unclear. (12)</t>
  </si>
  <si>
    <t>Morale is affected by poor communication and inconsistent leadership. (18)</t>
  </si>
  <si>
    <t>Recognition is limited, and processes are often slow or unclear. (19)</t>
  </si>
  <si>
    <t>Recognition is limited, and processes are often slow or unclear. (21)</t>
  </si>
  <si>
    <t>Good work is not always recognised. (22)</t>
  </si>
  <si>
    <t>recognition</t>
  </si>
  <si>
    <t>Recognition is limited, and processes are often slow or unclear. (23)</t>
  </si>
  <si>
    <t>Good work is not always recognised. (24)</t>
  </si>
  <si>
    <t>Recognition is limited, and processes are often slow or unclear. (34)</t>
  </si>
  <si>
    <t>Recognition is limited, and processes are often slow or unclear. (36)</t>
  </si>
  <si>
    <t>Workload is uneven across teams. (39)</t>
  </si>
  <si>
    <t>Important information often arrives too late. (45)</t>
  </si>
  <si>
    <t>Morale has dipped recently and needs attention. (47)</t>
  </si>
  <si>
    <t>morale,</t>
  </si>
  <si>
    <t>Good work is not always recognised. (51)</t>
  </si>
  <si>
    <t>Recognition is limited, and processes are often slow or unclear. (52)</t>
  </si>
  <si>
    <t>Some teams feel disconnected from the wider organisation. (53)</t>
  </si>
  <si>
    <t>Workload is uneven across teams. (65)</t>
  </si>
  <si>
    <t>There are not enough staff during busy periods. (67)</t>
  </si>
  <si>
    <t>There are not enough staff during busy periods. (68)</t>
  </si>
  <si>
    <t>There are not enough staff during busy periods. (72)</t>
  </si>
  <si>
    <t>Good work is not always recognised. (81)</t>
  </si>
  <si>
    <t>Good work is not always recognised. (88)</t>
  </si>
  <si>
    <t>Topic</t>
  </si>
  <si>
    <t>x</t>
  </si>
  <si>
    <t>f</t>
  </si>
  <si>
    <t>fx</t>
  </si>
  <si>
    <t xml:space="preserve">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</si>
</sst>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6482939632549E-2"/>
          <c:y val="0.19209499854184894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Sheet1!$A$112:$A$116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Sheet1!$B$112:$B$116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39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9-4261-BF51-CBC69C910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615504"/>
        <c:axId val="1963614544"/>
      </c:barChart>
      <c:catAx>
        <c:axId val="19636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14544"/>
        <c:crosses val="autoZero"/>
        <c:auto val="1"/>
        <c:lblAlgn val="ctr"/>
        <c:lblOffset val="100"/>
        <c:noMultiLvlLbl val="0"/>
      </c:catAx>
      <c:valAx>
        <c:axId val="19636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61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4D-4ACF-834D-445F0823B3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4D-4ACF-834D-445F0823B3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4D-4ACF-834D-445F0823B3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4D-4ACF-834D-445F0823B386}"/>
              </c:ext>
            </c:extLst>
          </c:dPt>
          <c:cat>
            <c:strRef>
              <c:f>Sheet1!$N$107:$N$110</c:f>
              <c:strCache>
                <c:ptCount val="4"/>
                <c:pt idx="0">
                  <c:v>Communication</c:v>
                </c:pt>
                <c:pt idx="1">
                  <c:v>Management</c:v>
                </c:pt>
                <c:pt idx="2">
                  <c:v>Performance</c:v>
                </c:pt>
                <c:pt idx="3">
                  <c:v>Staff</c:v>
                </c:pt>
              </c:strCache>
            </c:strRef>
          </c:cat>
          <c:val>
            <c:numRef>
              <c:f>Sheet1!$O$107:$O$110</c:f>
              <c:numCache>
                <c:formatCode>General</c:formatCode>
                <c:ptCount val="4"/>
                <c:pt idx="0">
                  <c:v>25</c:v>
                </c:pt>
                <c:pt idx="1">
                  <c:v>29</c:v>
                </c:pt>
                <c:pt idx="2">
                  <c:v>25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7-4BA6-9247-D1F2711C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110</xdr:row>
      <xdr:rowOff>185737</xdr:rowOff>
    </xdr:from>
    <xdr:to>
      <xdr:col>10</xdr:col>
      <xdr:colOff>447675</xdr:colOff>
      <xdr:row>125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E2BAD-3477-9965-8AE7-0D6E8423A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1266825</xdr:colOff>
      <xdr:row>89</xdr:row>
      <xdr:rowOff>61912</xdr:rowOff>
    </xdr:from>
    <xdr:to>
      <xdr:col>21</xdr:col>
      <xdr:colOff>485775</xdr:colOff>
      <xdr:row>103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F1A4A9-FE89-D29D-5D6A-16A156B6C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topLeftCell="A94" workbookViewId="0">
      <selection activeCell="B113" sqref="B113"/>
    </sheetView>
  </sheetViews>
  <sheetFormatPr defaultRowHeight="15"/>
  <cols>
    <col min="2" max="2" width="9.7109375" bestFit="1" customWidth="1"/>
    <col min="3" max="3" width="10.42578125" bestFit="1" customWidth="1"/>
    <col min="4" max="4" width="25.5703125" bestFit="1" customWidth="1"/>
    <col min="7" max="7" width="10.42578125" bestFit="1" customWidth="1"/>
    <col min="8" max="8" width="6.140625" bestFit="1" customWidth="1"/>
    <col min="10" max="10" width="39.42578125" bestFit="1" customWidth="1"/>
    <col min="11" max="11" width="16.42578125" bestFit="1" customWidth="1"/>
    <col min="12" max="12" width="16.5703125" bestFit="1" customWidth="1"/>
    <col min="13" max="13" width="70.7109375" bestFit="1" customWidth="1"/>
    <col min="14" max="14" width="36.140625" customWidth="1"/>
    <col min="15" max="15" width="25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</row>
    <row r="2" spans="1:15">
      <c r="A2" t="s">
        <v>14</v>
      </c>
      <c r="B2" t="s">
        <v>15</v>
      </c>
      <c r="C2" t="s">
        <v>7</v>
      </c>
      <c r="D2" t="s">
        <v>16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s">
        <v>17</v>
      </c>
      <c r="K2">
        <v>4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22</v>
      </c>
      <c r="B3" t="s">
        <v>15</v>
      </c>
      <c r="C3" t="s">
        <v>8</v>
      </c>
      <c r="D3" t="s">
        <v>23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s">
        <v>24</v>
      </c>
      <c r="K3">
        <v>3</v>
      </c>
      <c r="L3" t="s">
        <v>25</v>
      </c>
      <c r="M3" t="s">
        <v>26</v>
      </c>
      <c r="N3" t="s">
        <v>27</v>
      </c>
      <c r="O3" t="s">
        <v>21</v>
      </c>
    </row>
    <row r="4" spans="1:15">
      <c r="A4" t="s">
        <v>28</v>
      </c>
      <c r="B4" t="s">
        <v>15</v>
      </c>
      <c r="C4" t="s">
        <v>7</v>
      </c>
      <c r="D4" t="s">
        <v>23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s">
        <v>24</v>
      </c>
      <c r="K4">
        <v>3</v>
      </c>
      <c r="L4" t="s">
        <v>25</v>
      </c>
      <c r="M4" t="s">
        <v>29</v>
      </c>
      <c r="N4" t="s">
        <v>30</v>
      </c>
      <c r="O4" t="s">
        <v>21</v>
      </c>
    </row>
    <row r="5" spans="1:15">
      <c r="A5" t="s">
        <v>14</v>
      </c>
      <c r="B5" t="s">
        <v>15</v>
      </c>
      <c r="C5" t="s">
        <v>4</v>
      </c>
      <c r="D5" t="s">
        <v>31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s">
        <v>17</v>
      </c>
      <c r="K5">
        <v>4</v>
      </c>
      <c r="L5" t="s">
        <v>18</v>
      </c>
      <c r="M5" t="s">
        <v>32</v>
      </c>
      <c r="N5" t="s">
        <v>33</v>
      </c>
      <c r="O5" t="s">
        <v>21</v>
      </c>
    </row>
    <row r="6" spans="1:15">
      <c r="A6" t="s">
        <v>14</v>
      </c>
      <c r="B6" t="s">
        <v>15</v>
      </c>
      <c r="C6" t="s">
        <v>7</v>
      </c>
      <c r="D6" t="s">
        <v>16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s">
        <v>17</v>
      </c>
      <c r="K6">
        <v>3</v>
      </c>
      <c r="L6" t="s">
        <v>25</v>
      </c>
      <c r="M6" t="s">
        <v>34</v>
      </c>
      <c r="N6" t="s">
        <v>35</v>
      </c>
      <c r="O6" t="s">
        <v>21</v>
      </c>
    </row>
    <row r="7" spans="1:15">
      <c r="A7" t="s">
        <v>14</v>
      </c>
      <c r="B7" t="s">
        <v>15</v>
      </c>
      <c r="C7" t="s">
        <v>8</v>
      </c>
      <c r="D7" t="s">
        <v>16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s">
        <v>17</v>
      </c>
      <c r="K7">
        <v>3</v>
      </c>
      <c r="L7" t="s">
        <v>25</v>
      </c>
      <c r="M7" t="s">
        <v>36</v>
      </c>
      <c r="N7" t="s">
        <v>37</v>
      </c>
      <c r="O7" t="s">
        <v>21</v>
      </c>
    </row>
    <row r="8" spans="1:15">
      <c r="A8" t="s">
        <v>14</v>
      </c>
      <c r="B8" t="s">
        <v>15</v>
      </c>
      <c r="C8" t="s">
        <v>8</v>
      </c>
      <c r="D8" t="s">
        <v>38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s">
        <v>17</v>
      </c>
      <c r="K8">
        <v>3</v>
      </c>
      <c r="L8" t="s">
        <v>25</v>
      </c>
      <c r="M8" t="s">
        <v>39</v>
      </c>
      <c r="N8" t="s">
        <v>37</v>
      </c>
      <c r="O8" t="s">
        <v>21</v>
      </c>
    </row>
    <row r="9" spans="1:15">
      <c r="A9" t="s">
        <v>14</v>
      </c>
      <c r="B9" t="s">
        <v>15</v>
      </c>
      <c r="C9" t="s">
        <v>8</v>
      </c>
      <c r="D9" t="s">
        <v>16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s">
        <v>17</v>
      </c>
      <c r="K9">
        <v>4</v>
      </c>
      <c r="L9" t="s">
        <v>18</v>
      </c>
      <c r="M9" t="s">
        <v>40</v>
      </c>
      <c r="N9" t="s">
        <v>41</v>
      </c>
      <c r="O9" t="s">
        <v>21</v>
      </c>
    </row>
    <row r="10" spans="1:15">
      <c r="A10" t="s">
        <v>14</v>
      </c>
      <c r="B10" t="s">
        <v>15</v>
      </c>
      <c r="C10" t="s">
        <v>8</v>
      </c>
      <c r="D10" t="s">
        <v>16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s">
        <v>17</v>
      </c>
      <c r="K10">
        <v>4</v>
      </c>
      <c r="L10" t="s">
        <v>18</v>
      </c>
      <c r="M10" t="s">
        <v>42</v>
      </c>
      <c r="N10" t="s">
        <v>43</v>
      </c>
      <c r="O10" t="s">
        <v>21</v>
      </c>
    </row>
    <row r="11" spans="1:15">
      <c r="A11" t="s">
        <v>14</v>
      </c>
      <c r="B11" t="s">
        <v>15</v>
      </c>
      <c r="C11" t="s">
        <v>8</v>
      </c>
      <c r="D11" t="s">
        <v>16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s">
        <v>17</v>
      </c>
      <c r="K11">
        <v>4</v>
      </c>
      <c r="L11" t="s">
        <v>18</v>
      </c>
      <c r="M11" t="s">
        <v>44</v>
      </c>
      <c r="N11" t="s">
        <v>45</v>
      </c>
      <c r="O11" t="s">
        <v>21</v>
      </c>
    </row>
    <row r="12" spans="1:15">
      <c r="A12" t="s">
        <v>14</v>
      </c>
      <c r="B12" t="s">
        <v>15</v>
      </c>
      <c r="C12" t="s">
        <v>8</v>
      </c>
      <c r="D12" t="s">
        <v>16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s">
        <v>17</v>
      </c>
      <c r="K12">
        <v>4</v>
      </c>
      <c r="L12" t="s">
        <v>18</v>
      </c>
      <c r="M12" t="s">
        <v>46</v>
      </c>
      <c r="N12" t="s">
        <v>47</v>
      </c>
      <c r="O12" t="s">
        <v>21</v>
      </c>
    </row>
    <row r="13" spans="1:15">
      <c r="A13" t="s">
        <v>14</v>
      </c>
      <c r="B13" t="s">
        <v>15</v>
      </c>
      <c r="C13" t="s">
        <v>8</v>
      </c>
      <c r="D13" t="s">
        <v>16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s">
        <v>17</v>
      </c>
      <c r="K13">
        <v>4</v>
      </c>
      <c r="L13" t="s">
        <v>18</v>
      </c>
      <c r="M13" t="s">
        <v>48</v>
      </c>
      <c r="N13" t="s">
        <v>49</v>
      </c>
      <c r="O13" t="s">
        <v>21</v>
      </c>
    </row>
    <row r="14" spans="1:15">
      <c r="A14" t="s">
        <v>14</v>
      </c>
      <c r="B14" t="s">
        <v>15</v>
      </c>
      <c r="C14" t="s">
        <v>8</v>
      </c>
      <c r="D14" t="s">
        <v>16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s">
        <v>17</v>
      </c>
      <c r="K14">
        <v>3</v>
      </c>
      <c r="L14" t="s">
        <v>25</v>
      </c>
      <c r="M14" t="s">
        <v>50</v>
      </c>
      <c r="N14" t="s">
        <v>51</v>
      </c>
      <c r="O14" t="s">
        <v>21</v>
      </c>
    </row>
    <row r="15" spans="1:15">
      <c r="A15" t="s">
        <v>14</v>
      </c>
      <c r="B15" t="s">
        <v>15</v>
      </c>
      <c r="C15" t="s">
        <v>6</v>
      </c>
      <c r="D15" t="s">
        <v>16</v>
      </c>
      <c r="E15" t="b">
        <v>0</v>
      </c>
      <c r="F15" t="b">
        <v>0</v>
      </c>
      <c r="G15" t="b">
        <v>1</v>
      </c>
      <c r="H15" t="b">
        <v>0</v>
      </c>
      <c r="I15" t="b">
        <v>0</v>
      </c>
      <c r="J15" t="s">
        <v>17</v>
      </c>
      <c r="K15">
        <v>4</v>
      </c>
      <c r="L15" t="s">
        <v>18</v>
      </c>
      <c r="M15" t="s">
        <v>52</v>
      </c>
      <c r="N15" t="s">
        <v>53</v>
      </c>
      <c r="O15" t="s">
        <v>21</v>
      </c>
    </row>
    <row r="16" spans="1:15">
      <c r="A16" t="s">
        <v>14</v>
      </c>
      <c r="B16" t="s">
        <v>15</v>
      </c>
      <c r="C16" t="s">
        <v>7</v>
      </c>
      <c r="D16" t="s">
        <v>54</v>
      </c>
      <c r="E16" t="b">
        <v>0</v>
      </c>
      <c r="F16" t="b">
        <v>0</v>
      </c>
      <c r="G16" t="b">
        <v>0</v>
      </c>
      <c r="H16" t="b">
        <v>1</v>
      </c>
      <c r="I16" t="b">
        <v>0</v>
      </c>
      <c r="J16" t="s">
        <v>17</v>
      </c>
      <c r="K16">
        <v>3</v>
      </c>
      <c r="L16" t="s">
        <v>25</v>
      </c>
      <c r="M16" t="s">
        <v>55</v>
      </c>
      <c r="N16" t="s">
        <v>56</v>
      </c>
      <c r="O16" t="s">
        <v>21</v>
      </c>
    </row>
    <row r="17" spans="1:15">
      <c r="A17" t="s">
        <v>14</v>
      </c>
      <c r="B17" t="s">
        <v>15</v>
      </c>
      <c r="C17" t="s">
        <v>8</v>
      </c>
      <c r="D17" t="s">
        <v>54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s">
        <v>17</v>
      </c>
      <c r="K17">
        <v>4</v>
      </c>
      <c r="L17" t="s">
        <v>18</v>
      </c>
      <c r="M17" t="s">
        <v>57</v>
      </c>
      <c r="N17" t="s">
        <v>35</v>
      </c>
      <c r="O17" t="s">
        <v>21</v>
      </c>
    </row>
    <row r="18" spans="1:15">
      <c r="A18" t="s">
        <v>14</v>
      </c>
      <c r="B18" t="s">
        <v>15</v>
      </c>
      <c r="C18" t="s">
        <v>8</v>
      </c>
      <c r="D18" t="s">
        <v>54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s">
        <v>17</v>
      </c>
      <c r="K18">
        <v>1</v>
      </c>
      <c r="L18" t="s">
        <v>58</v>
      </c>
      <c r="M18" t="s">
        <v>59</v>
      </c>
      <c r="N18" t="s">
        <v>60</v>
      </c>
      <c r="O18" t="s">
        <v>21</v>
      </c>
    </row>
    <row r="19" spans="1:15">
      <c r="A19" t="s">
        <v>14</v>
      </c>
      <c r="B19" t="s">
        <v>15</v>
      </c>
      <c r="C19" t="s">
        <v>8</v>
      </c>
      <c r="D19" t="s">
        <v>54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s">
        <v>17</v>
      </c>
      <c r="K19">
        <v>3</v>
      </c>
      <c r="L19" t="s">
        <v>25</v>
      </c>
      <c r="M19" t="s">
        <v>61</v>
      </c>
      <c r="N19" t="s">
        <v>35</v>
      </c>
      <c r="O19" t="s">
        <v>21</v>
      </c>
    </row>
    <row r="20" spans="1:15">
      <c r="A20" t="s">
        <v>14</v>
      </c>
      <c r="B20" t="s">
        <v>15</v>
      </c>
      <c r="C20" t="s">
        <v>8</v>
      </c>
      <c r="D20" t="s">
        <v>54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s">
        <v>17</v>
      </c>
      <c r="K20">
        <v>4</v>
      </c>
      <c r="L20" t="s">
        <v>18</v>
      </c>
      <c r="M20" t="s">
        <v>62</v>
      </c>
      <c r="N20" t="s">
        <v>63</v>
      </c>
      <c r="O20" t="s">
        <v>21</v>
      </c>
    </row>
    <row r="21" spans="1:15">
      <c r="A21" t="s">
        <v>14</v>
      </c>
      <c r="B21" t="s">
        <v>15</v>
      </c>
      <c r="C21" t="s">
        <v>8</v>
      </c>
      <c r="D21" t="s">
        <v>54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s">
        <v>17</v>
      </c>
      <c r="K21">
        <v>4</v>
      </c>
      <c r="L21" t="s">
        <v>18</v>
      </c>
      <c r="M21" t="s">
        <v>64</v>
      </c>
      <c r="O21" t="s">
        <v>21</v>
      </c>
    </row>
    <row r="22" spans="1:15">
      <c r="A22" t="s">
        <v>14</v>
      </c>
      <c r="B22" t="s">
        <v>15</v>
      </c>
      <c r="C22" t="s">
        <v>8</v>
      </c>
      <c r="D22" t="s">
        <v>54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s">
        <v>17</v>
      </c>
      <c r="K22">
        <v>4</v>
      </c>
      <c r="L22" t="s">
        <v>18</v>
      </c>
      <c r="M22" t="s">
        <v>65</v>
      </c>
      <c r="O22" t="s">
        <v>21</v>
      </c>
    </row>
    <row r="23" spans="1:15">
      <c r="A23" t="s">
        <v>14</v>
      </c>
      <c r="B23" t="s">
        <v>15</v>
      </c>
      <c r="C23" t="s">
        <v>6</v>
      </c>
      <c r="D23" t="s">
        <v>54</v>
      </c>
      <c r="E23" t="b">
        <v>0</v>
      </c>
      <c r="F23" t="b">
        <v>0</v>
      </c>
      <c r="G23" t="b">
        <v>1</v>
      </c>
      <c r="H23" t="b">
        <v>0</v>
      </c>
      <c r="I23" t="b">
        <v>0</v>
      </c>
      <c r="J23" t="s">
        <v>17</v>
      </c>
      <c r="K23">
        <v>4</v>
      </c>
      <c r="L23" t="s">
        <v>18</v>
      </c>
      <c r="M23" t="s">
        <v>66</v>
      </c>
      <c r="O23" t="s">
        <v>21</v>
      </c>
    </row>
    <row r="24" spans="1:15">
      <c r="A24" t="s">
        <v>14</v>
      </c>
      <c r="B24" t="s">
        <v>15</v>
      </c>
      <c r="C24" t="s">
        <v>5</v>
      </c>
      <c r="D24" t="s">
        <v>67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s">
        <v>17</v>
      </c>
      <c r="K24">
        <v>3</v>
      </c>
      <c r="L24" t="s">
        <v>25</v>
      </c>
      <c r="M24" t="s">
        <v>68</v>
      </c>
      <c r="O24" t="s">
        <v>21</v>
      </c>
    </row>
    <row r="25" spans="1:15">
      <c r="A25" t="s">
        <v>14</v>
      </c>
      <c r="B25" t="s">
        <v>15</v>
      </c>
      <c r="C25" t="s">
        <v>8</v>
      </c>
      <c r="D25" t="s">
        <v>67</v>
      </c>
      <c r="E25" t="b">
        <v>0</v>
      </c>
      <c r="F25" t="b">
        <v>0</v>
      </c>
      <c r="G25" t="b">
        <v>0</v>
      </c>
      <c r="H25" t="b">
        <v>0</v>
      </c>
      <c r="I25" t="b">
        <v>1</v>
      </c>
      <c r="J25" t="s">
        <v>17</v>
      </c>
      <c r="K25">
        <v>3</v>
      </c>
      <c r="L25" t="s">
        <v>25</v>
      </c>
      <c r="M25" t="s">
        <v>69</v>
      </c>
      <c r="O25" t="s">
        <v>21</v>
      </c>
    </row>
    <row r="26" spans="1:15">
      <c r="O26" t="s">
        <v>21</v>
      </c>
    </row>
    <row r="27" spans="1:15">
      <c r="A27" t="s">
        <v>22</v>
      </c>
      <c r="B27" t="s">
        <v>15</v>
      </c>
      <c r="C27" t="s">
        <v>8</v>
      </c>
      <c r="D27" t="s">
        <v>38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s">
        <v>24</v>
      </c>
      <c r="K27">
        <v>3</v>
      </c>
      <c r="L27" t="s">
        <v>25</v>
      </c>
      <c r="M27" t="s">
        <v>70</v>
      </c>
      <c r="N27" t="s">
        <v>71</v>
      </c>
      <c r="O27" t="s">
        <v>72</v>
      </c>
    </row>
    <row r="28" spans="1:15">
      <c r="A28" t="s">
        <v>22</v>
      </c>
      <c r="B28" t="s">
        <v>15</v>
      </c>
      <c r="C28" t="s">
        <v>8</v>
      </c>
      <c r="D28" t="s">
        <v>73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s">
        <v>24</v>
      </c>
      <c r="K28">
        <v>3</v>
      </c>
      <c r="L28" t="s">
        <v>25</v>
      </c>
      <c r="M28" t="s">
        <v>74</v>
      </c>
      <c r="N28" t="s">
        <v>75</v>
      </c>
      <c r="O28" t="s">
        <v>72</v>
      </c>
    </row>
    <row r="29" spans="1:15">
      <c r="A29" t="s">
        <v>14</v>
      </c>
      <c r="B29" t="s">
        <v>15</v>
      </c>
      <c r="C29" t="s">
        <v>7</v>
      </c>
      <c r="D29" t="s">
        <v>16</v>
      </c>
      <c r="E29" t="b">
        <v>0</v>
      </c>
      <c r="F29" t="b">
        <v>0</v>
      </c>
      <c r="G29" t="b">
        <v>0</v>
      </c>
      <c r="H29" t="b">
        <v>1</v>
      </c>
      <c r="I29" t="b">
        <v>0</v>
      </c>
      <c r="J29" t="s">
        <v>17</v>
      </c>
      <c r="K29">
        <v>4</v>
      </c>
      <c r="L29" t="s">
        <v>18</v>
      </c>
      <c r="M29" t="s">
        <v>76</v>
      </c>
      <c r="N29" t="s">
        <v>77</v>
      </c>
      <c r="O29" t="s">
        <v>72</v>
      </c>
    </row>
    <row r="30" spans="1:15">
      <c r="A30" t="s">
        <v>14</v>
      </c>
      <c r="B30" t="s">
        <v>15</v>
      </c>
      <c r="C30" t="s">
        <v>8</v>
      </c>
      <c r="D30" t="s">
        <v>16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s">
        <v>17</v>
      </c>
      <c r="K30">
        <v>4</v>
      </c>
      <c r="L30" t="s">
        <v>18</v>
      </c>
      <c r="M30" t="s">
        <v>78</v>
      </c>
      <c r="N30" t="s">
        <v>77</v>
      </c>
      <c r="O30" t="s">
        <v>72</v>
      </c>
    </row>
    <row r="31" spans="1:15">
      <c r="A31" t="s">
        <v>14</v>
      </c>
      <c r="B31" t="s">
        <v>15</v>
      </c>
      <c r="C31" t="s">
        <v>8</v>
      </c>
      <c r="D31" t="s">
        <v>16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s">
        <v>17</v>
      </c>
      <c r="K31">
        <v>4</v>
      </c>
      <c r="L31" t="s">
        <v>18</v>
      </c>
      <c r="M31" t="s">
        <v>79</v>
      </c>
      <c r="N31" t="s">
        <v>80</v>
      </c>
      <c r="O31" t="s">
        <v>72</v>
      </c>
    </row>
    <row r="32" spans="1:15">
      <c r="A32" t="s">
        <v>14</v>
      </c>
      <c r="B32" t="s">
        <v>15</v>
      </c>
      <c r="C32" t="s">
        <v>8</v>
      </c>
      <c r="D32" t="s">
        <v>16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s">
        <v>17</v>
      </c>
      <c r="K32">
        <v>3</v>
      </c>
      <c r="L32" t="s">
        <v>25</v>
      </c>
      <c r="M32" t="s">
        <v>81</v>
      </c>
      <c r="N32" t="s">
        <v>80</v>
      </c>
      <c r="O32" t="s">
        <v>72</v>
      </c>
    </row>
    <row r="33" spans="1:15">
      <c r="A33" t="s">
        <v>14</v>
      </c>
      <c r="B33" t="s">
        <v>15</v>
      </c>
      <c r="C33" t="s">
        <v>8</v>
      </c>
      <c r="D33" t="s">
        <v>16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s">
        <v>17</v>
      </c>
      <c r="K33">
        <v>3</v>
      </c>
      <c r="L33" t="s">
        <v>25</v>
      </c>
      <c r="M33" t="s">
        <v>82</v>
      </c>
      <c r="N33" t="s">
        <v>83</v>
      </c>
      <c r="O33" t="s">
        <v>72</v>
      </c>
    </row>
    <row r="34" spans="1:15">
      <c r="A34" t="s">
        <v>14</v>
      </c>
      <c r="B34" t="s">
        <v>15</v>
      </c>
      <c r="C34" t="s">
        <v>8</v>
      </c>
      <c r="D34" t="s">
        <v>16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s">
        <v>17</v>
      </c>
      <c r="K34">
        <v>4</v>
      </c>
      <c r="L34" t="s">
        <v>18</v>
      </c>
      <c r="M34" t="s">
        <v>84</v>
      </c>
      <c r="N34" t="s">
        <v>85</v>
      </c>
      <c r="O34" t="s">
        <v>72</v>
      </c>
    </row>
    <row r="35" spans="1:15">
      <c r="A35" t="s">
        <v>14</v>
      </c>
      <c r="B35" t="s">
        <v>15</v>
      </c>
      <c r="C35" t="s">
        <v>8</v>
      </c>
      <c r="D35" t="s">
        <v>16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s">
        <v>17</v>
      </c>
      <c r="K35">
        <v>4</v>
      </c>
      <c r="L35" t="s">
        <v>18</v>
      </c>
      <c r="M35" t="s">
        <v>86</v>
      </c>
      <c r="N35" t="s">
        <v>33</v>
      </c>
      <c r="O35" t="s">
        <v>72</v>
      </c>
    </row>
    <row r="36" spans="1:15">
      <c r="A36" t="s">
        <v>14</v>
      </c>
      <c r="B36" t="s">
        <v>15</v>
      </c>
      <c r="C36" t="s">
        <v>8</v>
      </c>
      <c r="D36" t="s">
        <v>16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s">
        <v>17</v>
      </c>
      <c r="K36">
        <v>3</v>
      </c>
      <c r="L36" t="s">
        <v>25</v>
      </c>
      <c r="M36" t="s">
        <v>87</v>
      </c>
      <c r="N36" t="s">
        <v>33</v>
      </c>
      <c r="O36" t="s">
        <v>72</v>
      </c>
    </row>
    <row r="37" spans="1:15">
      <c r="A37" t="s">
        <v>14</v>
      </c>
      <c r="B37" t="s">
        <v>15</v>
      </c>
      <c r="C37" t="s">
        <v>8</v>
      </c>
      <c r="D37" t="s">
        <v>16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s">
        <v>17</v>
      </c>
      <c r="K37">
        <v>4</v>
      </c>
      <c r="L37" t="s">
        <v>18</v>
      </c>
      <c r="M37" t="s">
        <v>88</v>
      </c>
      <c r="N37" t="s">
        <v>33</v>
      </c>
      <c r="O37" t="s">
        <v>72</v>
      </c>
    </row>
    <row r="38" spans="1:15">
      <c r="A38" t="s">
        <v>14</v>
      </c>
      <c r="B38" t="s">
        <v>15</v>
      </c>
      <c r="C38" t="s">
        <v>8</v>
      </c>
      <c r="D38" t="s">
        <v>16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s">
        <v>17</v>
      </c>
      <c r="K38">
        <v>2</v>
      </c>
      <c r="L38" t="s">
        <v>89</v>
      </c>
      <c r="M38" t="s">
        <v>90</v>
      </c>
      <c r="N38" t="s">
        <v>33</v>
      </c>
      <c r="O38" t="s">
        <v>72</v>
      </c>
    </row>
    <row r="39" spans="1:15">
      <c r="A39" t="s">
        <v>14</v>
      </c>
      <c r="B39" t="s">
        <v>15</v>
      </c>
      <c r="C39" t="s">
        <v>6</v>
      </c>
      <c r="D39" t="s">
        <v>16</v>
      </c>
      <c r="E39" t="b">
        <v>0</v>
      </c>
      <c r="F39" t="b">
        <v>0</v>
      </c>
      <c r="G39" t="b">
        <v>1</v>
      </c>
      <c r="H39" t="b">
        <v>0</v>
      </c>
      <c r="I39" t="b">
        <v>0</v>
      </c>
      <c r="J39" t="s">
        <v>17</v>
      </c>
      <c r="K39">
        <v>4</v>
      </c>
      <c r="L39" t="s">
        <v>18</v>
      </c>
      <c r="M39" t="s">
        <v>91</v>
      </c>
      <c r="N39" t="s">
        <v>33</v>
      </c>
      <c r="O39" t="s">
        <v>72</v>
      </c>
    </row>
    <row r="40" spans="1:15">
      <c r="A40" t="s">
        <v>14</v>
      </c>
      <c r="B40" t="s">
        <v>15</v>
      </c>
      <c r="C40" t="s">
        <v>8</v>
      </c>
      <c r="D40" t="s">
        <v>54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s">
        <v>17</v>
      </c>
      <c r="K40">
        <v>3</v>
      </c>
      <c r="L40" t="s">
        <v>25</v>
      </c>
      <c r="M40" t="s">
        <v>92</v>
      </c>
      <c r="N40" t="s">
        <v>93</v>
      </c>
      <c r="O40" t="s">
        <v>72</v>
      </c>
    </row>
    <row r="41" spans="1:15">
      <c r="A41" t="s">
        <v>14</v>
      </c>
      <c r="B41" t="s">
        <v>15</v>
      </c>
      <c r="C41" t="s">
        <v>8</v>
      </c>
      <c r="D41" t="s">
        <v>54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s">
        <v>17</v>
      </c>
      <c r="K41">
        <v>4</v>
      </c>
      <c r="L41" t="s">
        <v>18</v>
      </c>
      <c r="M41" t="s">
        <v>94</v>
      </c>
      <c r="N41" t="s">
        <v>93</v>
      </c>
      <c r="O41" t="s">
        <v>72</v>
      </c>
    </row>
    <row r="42" spans="1:15">
      <c r="A42" t="s">
        <v>14</v>
      </c>
      <c r="B42" t="s">
        <v>95</v>
      </c>
      <c r="C42" t="s">
        <v>8</v>
      </c>
      <c r="D42" t="s">
        <v>54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s">
        <v>17</v>
      </c>
      <c r="K42">
        <v>3</v>
      </c>
      <c r="L42" t="s">
        <v>25</v>
      </c>
      <c r="M42" t="s">
        <v>96</v>
      </c>
      <c r="N42" t="s">
        <v>97</v>
      </c>
      <c r="O42" t="s">
        <v>72</v>
      </c>
    </row>
    <row r="43" spans="1:15">
      <c r="A43" t="s">
        <v>14</v>
      </c>
      <c r="B43" t="s">
        <v>15</v>
      </c>
      <c r="C43" t="s">
        <v>8</v>
      </c>
      <c r="D43" t="s">
        <v>54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s">
        <v>17</v>
      </c>
      <c r="K43">
        <v>3</v>
      </c>
      <c r="L43" t="s">
        <v>25</v>
      </c>
      <c r="M43" t="s">
        <v>98</v>
      </c>
      <c r="O43" t="s">
        <v>72</v>
      </c>
    </row>
    <row r="44" spans="1:15">
      <c r="A44" t="s">
        <v>14</v>
      </c>
      <c r="B44" t="s">
        <v>15</v>
      </c>
      <c r="C44" t="s">
        <v>8</v>
      </c>
      <c r="D44" t="s">
        <v>54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s">
        <v>17</v>
      </c>
      <c r="K44">
        <v>3</v>
      </c>
      <c r="L44" t="s">
        <v>25</v>
      </c>
      <c r="M44" t="s">
        <v>99</v>
      </c>
      <c r="O44" t="s">
        <v>72</v>
      </c>
    </row>
    <row r="45" spans="1:15">
      <c r="A45" t="s">
        <v>14</v>
      </c>
      <c r="B45" t="s">
        <v>15</v>
      </c>
      <c r="C45" t="s">
        <v>8</v>
      </c>
      <c r="D45" t="s">
        <v>54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s">
        <v>17</v>
      </c>
      <c r="K45">
        <v>3</v>
      </c>
      <c r="L45" t="s">
        <v>25</v>
      </c>
      <c r="M45" t="s">
        <v>100</v>
      </c>
      <c r="O45" t="s">
        <v>72</v>
      </c>
    </row>
    <row r="46" spans="1:15">
      <c r="A46" t="s">
        <v>14</v>
      </c>
      <c r="B46" t="s">
        <v>15</v>
      </c>
      <c r="C46" t="s">
        <v>8</v>
      </c>
      <c r="D46" t="s">
        <v>54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s">
        <v>17</v>
      </c>
      <c r="K46">
        <v>3</v>
      </c>
      <c r="L46" t="s">
        <v>25</v>
      </c>
      <c r="M46" t="s">
        <v>101</v>
      </c>
      <c r="O46" t="s">
        <v>72</v>
      </c>
    </row>
    <row r="47" spans="1:15">
      <c r="A47" t="s">
        <v>14</v>
      </c>
      <c r="B47" t="s">
        <v>15</v>
      </c>
      <c r="C47" t="s">
        <v>8</v>
      </c>
      <c r="D47" t="s">
        <v>54</v>
      </c>
      <c r="E47" t="b">
        <v>0</v>
      </c>
      <c r="F47" t="b">
        <v>0</v>
      </c>
      <c r="G47" t="b">
        <v>0</v>
      </c>
      <c r="H47" t="b">
        <v>0</v>
      </c>
      <c r="I47" t="b">
        <v>1</v>
      </c>
      <c r="J47" t="s">
        <v>17</v>
      </c>
      <c r="K47">
        <v>3</v>
      </c>
      <c r="L47" t="s">
        <v>25</v>
      </c>
      <c r="M47" t="s">
        <v>102</v>
      </c>
      <c r="O47" t="s">
        <v>72</v>
      </c>
    </row>
    <row r="48" spans="1:15">
      <c r="A48" t="s">
        <v>14</v>
      </c>
      <c r="B48" t="s">
        <v>15</v>
      </c>
      <c r="C48" t="s">
        <v>8</v>
      </c>
      <c r="D48" t="s">
        <v>54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s">
        <v>17</v>
      </c>
      <c r="K48">
        <v>4</v>
      </c>
      <c r="L48" t="s">
        <v>18</v>
      </c>
      <c r="M48" t="s">
        <v>103</v>
      </c>
      <c r="O48" t="s">
        <v>72</v>
      </c>
    </row>
    <row r="49" spans="1:15">
      <c r="A49" t="s">
        <v>14</v>
      </c>
      <c r="B49" t="s">
        <v>15</v>
      </c>
      <c r="C49" t="s">
        <v>8</v>
      </c>
      <c r="D49" t="s">
        <v>54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s">
        <v>17</v>
      </c>
      <c r="K49">
        <v>3</v>
      </c>
      <c r="L49" t="s">
        <v>25</v>
      </c>
      <c r="M49" t="s">
        <v>104</v>
      </c>
      <c r="O49" t="s">
        <v>72</v>
      </c>
    </row>
    <row r="50" spans="1:15">
      <c r="A50" t="s">
        <v>14</v>
      </c>
      <c r="B50" t="s">
        <v>15</v>
      </c>
      <c r="C50" t="s">
        <v>8</v>
      </c>
      <c r="D50" t="s">
        <v>54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s">
        <v>17</v>
      </c>
      <c r="K50">
        <v>3</v>
      </c>
      <c r="L50" t="s">
        <v>25</v>
      </c>
      <c r="M50" t="s">
        <v>105</v>
      </c>
      <c r="O50" t="s">
        <v>72</v>
      </c>
    </row>
    <row r="51" spans="1:15">
      <c r="A51" t="s">
        <v>14</v>
      </c>
      <c r="B51" t="s">
        <v>15</v>
      </c>
      <c r="C51" t="s">
        <v>8</v>
      </c>
      <c r="D51" t="s">
        <v>54</v>
      </c>
      <c r="E51" t="b">
        <v>0</v>
      </c>
      <c r="F51" t="b">
        <v>0</v>
      </c>
      <c r="G51" t="b">
        <v>0</v>
      </c>
      <c r="H51" t="b">
        <v>0</v>
      </c>
      <c r="I51" t="b">
        <v>1</v>
      </c>
      <c r="J51" t="s">
        <v>17</v>
      </c>
      <c r="K51">
        <v>3</v>
      </c>
      <c r="L51" t="s">
        <v>25</v>
      </c>
      <c r="M51" t="s">
        <v>106</v>
      </c>
      <c r="O51" t="s">
        <v>72</v>
      </c>
    </row>
    <row r="52" spans="1:15">
      <c r="A52" t="s">
        <v>14</v>
      </c>
      <c r="B52" t="s">
        <v>15</v>
      </c>
      <c r="C52" t="s">
        <v>8</v>
      </c>
      <c r="D52" t="s">
        <v>54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s">
        <v>17</v>
      </c>
      <c r="K52">
        <v>3</v>
      </c>
      <c r="L52" t="s">
        <v>25</v>
      </c>
      <c r="M52" t="s">
        <v>107</v>
      </c>
      <c r="O52" t="s">
        <v>72</v>
      </c>
    </row>
    <row r="53" spans="1:15">
      <c r="A53" t="s">
        <v>14</v>
      </c>
      <c r="B53" t="s">
        <v>15</v>
      </c>
      <c r="C53" t="s">
        <v>6</v>
      </c>
      <c r="D53" t="s">
        <v>54</v>
      </c>
      <c r="E53" t="b">
        <v>0</v>
      </c>
      <c r="F53" t="b">
        <v>0</v>
      </c>
      <c r="G53" t="b">
        <v>1</v>
      </c>
      <c r="H53" t="b">
        <v>0</v>
      </c>
      <c r="I53" t="b">
        <v>0</v>
      </c>
      <c r="J53" t="s">
        <v>17</v>
      </c>
      <c r="K53">
        <v>4</v>
      </c>
      <c r="L53" t="s">
        <v>18</v>
      </c>
      <c r="M53" t="s">
        <v>108</v>
      </c>
      <c r="O53" t="s">
        <v>72</v>
      </c>
    </row>
    <row r="54" spans="1:15">
      <c r="A54" t="s">
        <v>14</v>
      </c>
      <c r="B54" t="s">
        <v>15</v>
      </c>
      <c r="C54" t="s">
        <v>7</v>
      </c>
      <c r="D54" t="s">
        <v>67</v>
      </c>
      <c r="E54" t="b">
        <v>0</v>
      </c>
      <c r="F54" t="b">
        <v>0</v>
      </c>
      <c r="G54" t="b">
        <v>0</v>
      </c>
      <c r="H54" t="b">
        <v>1</v>
      </c>
      <c r="I54" t="b">
        <v>0</v>
      </c>
      <c r="J54" t="s">
        <v>17</v>
      </c>
      <c r="K54">
        <v>3</v>
      </c>
      <c r="L54" t="s">
        <v>25</v>
      </c>
      <c r="M54" t="s">
        <v>109</v>
      </c>
      <c r="O54" t="s">
        <v>72</v>
      </c>
    </row>
    <row r="55" spans="1:15">
      <c r="A55" t="s">
        <v>14</v>
      </c>
      <c r="B55" t="s">
        <v>15</v>
      </c>
      <c r="C55" t="s">
        <v>5</v>
      </c>
      <c r="D55" t="s">
        <v>67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s">
        <v>17</v>
      </c>
      <c r="K55">
        <v>4</v>
      </c>
      <c r="L55" t="s">
        <v>18</v>
      </c>
      <c r="M55" t="s">
        <v>110</v>
      </c>
      <c r="O55" t="s">
        <v>72</v>
      </c>
    </row>
    <row r="56" spans="1:15">
      <c r="A56" t="s">
        <v>14</v>
      </c>
      <c r="B56" t="s">
        <v>15</v>
      </c>
      <c r="C56" t="s">
        <v>7</v>
      </c>
      <c r="D56" t="s">
        <v>16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s">
        <v>17</v>
      </c>
      <c r="K56">
        <v>3</v>
      </c>
      <c r="L56" t="s">
        <v>25</v>
      </c>
      <c r="M56" t="s">
        <v>111</v>
      </c>
      <c r="N56" t="s">
        <v>112</v>
      </c>
      <c r="O56" t="s">
        <v>113</v>
      </c>
    </row>
    <row r="57" spans="1:15">
      <c r="A57" t="s">
        <v>14</v>
      </c>
      <c r="B57" t="s">
        <v>15</v>
      </c>
      <c r="C57" t="s">
        <v>5</v>
      </c>
      <c r="D57" t="s">
        <v>16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s">
        <v>17</v>
      </c>
      <c r="K57">
        <v>1</v>
      </c>
      <c r="L57" t="s">
        <v>58</v>
      </c>
      <c r="M57" t="s">
        <v>114</v>
      </c>
      <c r="N57" t="s">
        <v>35</v>
      </c>
      <c r="O57" t="s">
        <v>113</v>
      </c>
    </row>
    <row r="58" spans="1:15">
      <c r="A58" t="s">
        <v>14</v>
      </c>
      <c r="B58" t="s">
        <v>15</v>
      </c>
      <c r="C58" t="s">
        <v>5</v>
      </c>
      <c r="D58" t="s">
        <v>16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s">
        <v>17</v>
      </c>
      <c r="K58">
        <v>4</v>
      </c>
      <c r="L58" t="s">
        <v>18</v>
      </c>
      <c r="M58" t="s">
        <v>115</v>
      </c>
      <c r="N58" t="s">
        <v>116</v>
      </c>
      <c r="O58" t="s">
        <v>113</v>
      </c>
    </row>
    <row r="59" spans="1:15">
      <c r="A59" t="s">
        <v>14</v>
      </c>
      <c r="B59" t="s">
        <v>15</v>
      </c>
      <c r="C59" t="s">
        <v>8</v>
      </c>
      <c r="D59" t="s">
        <v>16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s">
        <v>17</v>
      </c>
      <c r="K59">
        <v>4</v>
      </c>
      <c r="L59" t="s">
        <v>18</v>
      </c>
      <c r="M59" t="s">
        <v>117</v>
      </c>
      <c r="N59" t="s">
        <v>43</v>
      </c>
      <c r="O59" t="s">
        <v>113</v>
      </c>
    </row>
    <row r="60" spans="1:15">
      <c r="A60" t="s">
        <v>14</v>
      </c>
      <c r="B60" t="s">
        <v>15</v>
      </c>
      <c r="C60" t="s">
        <v>8</v>
      </c>
      <c r="D60" t="s">
        <v>16</v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s">
        <v>17</v>
      </c>
      <c r="K60">
        <v>3</v>
      </c>
      <c r="L60" t="s">
        <v>25</v>
      </c>
      <c r="M60" t="s">
        <v>118</v>
      </c>
      <c r="N60" t="s">
        <v>119</v>
      </c>
      <c r="O60" t="s">
        <v>113</v>
      </c>
    </row>
    <row r="61" spans="1:15">
      <c r="A61" t="s">
        <v>14</v>
      </c>
      <c r="B61" t="s">
        <v>15</v>
      </c>
      <c r="C61" t="s">
        <v>8</v>
      </c>
      <c r="D61" t="s">
        <v>16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s">
        <v>17</v>
      </c>
      <c r="K61">
        <v>4</v>
      </c>
      <c r="L61" t="s">
        <v>18</v>
      </c>
      <c r="M61" t="s">
        <v>120</v>
      </c>
      <c r="N61" t="s">
        <v>45</v>
      </c>
      <c r="O61" t="s">
        <v>113</v>
      </c>
    </row>
    <row r="62" spans="1:15">
      <c r="A62" t="s">
        <v>14</v>
      </c>
      <c r="B62" t="s">
        <v>15</v>
      </c>
      <c r="C62" t="s">
        <v>8</v>
      </c>
      <c r="D62" t="s">
        <v>16</v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s">
        <v>17</v>
      </c>
      <c r="K62">
        <v>3</v>
      </c>
      <c r="L62" t="s">
        <v>25</v>
      </c>
      <c r="M62" t="s">
        <v>121</v>
      </c>
      <c r="N62" t="s">
        <v>122</v>
      </c>
      <c r="O62" t="s">
        <v>113</v>
      </c>
    </row>
    <row r="63" spans="1:15">
      <c r="A63" t="s">
        <v>14</v>
      </c>
      <c r="B63" t="s">
        <v>15</v>
      </c>
      <c r="C63" t="s">
        <v>8</v>
      </c>
      <c r="D63" t="s">
        <v>16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s">
        <v>17</v>
      </c>
      <c r="K63">
        <v>1</v>
      </c>
      <c r="L63" t="s">
        <v>58</v>
      </c>
      <c r="M63" t="s">
        <v>123</v>
      </c>
      <c r="N63" t="s">
        <v>43</v>
      </c>
      <c r="O63" t="s">
        <v>113</v>
      </c>
    </row>
    <row r="64" spans="1:15">
      <c r="A64" t="s">
        <v>14</v>
      </c>
      <c r="B64" t="s">
        <v>15</v>
      </c>
      <c r="C64" t="s">
        <v>8</v>
      </c>
      <c r="D64" t="s">
        <v>16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s">
        <v>17</v>
      </c>
      <c r="K64">
        <v>4</v>
      </c>
      <c r="L64" t="s">
        <v>18</v>
      </c>
      <c r="M64" t="s">
        <v>124</v>
      </c>
      <c r="N64" t="s">
        <v>119</v>
      </c>
      <c r="O64" t="s">
        <v>113</v>
      </c>
    </row>
    <row r="65" spans="1:15">
      <c r="A65" t="s">
        <v>14</v>
      </c>
      <c r="B65" t="s">
        <v>15</v>
      </c>
      <c r="C65" t="s">
        <v>8</v>
      </c>
      <c r="D65" t="s">
        <v>67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s">
        <v>17</v>
      </c>
      <c r="K65">
        <v>4</v>
      </c>
      <c r="L65" t="s">
        <v>18</v>
      </c>
      <c r="M65" t="s">
        <v>125</v>
      </c>
      <c r="N65" t="s">
        <v>119</v>
      </c>
      <c r="O65" t="s">
        <v>113</v>
      </c>
    </row>
    <row r="66" spans="1:15">
      <c r="A66" t="s">
        <v>14</v>
      </c>
      <c r="B66" t="s">
        <v>15</v>
      </c>
      <c r="C66" t="s">
        <v>6</v>
      </c>
      <c r="D66" t="s">
        <v>16</v>
      </c>
      <c r="E66" t="b">
        <v>0</v>
      </c>
      <c r="F66" t="b">
        <v>0</v>
      </c>
      <c r="G66" t="b">
        <v>1</v>
      </c>
      <c r="H66" t="b">
        <v>0</v>
      </c>
      <c r="I66" t="b">
        <v>0</v>
      </c>
      <c r="J66" t="s">
        <v>17</v>
      </c>
      <c r="K66">
        <v>4</v>
      </c>
      <c r="L66" t="s">
        <v>18</v>
      </c>
      <c r="M66" t="s">
        <v>126</v>
      </c>
      <c r="N66" t="s">
        <v>127</v>
      </c>
      <c r="O66" t="s">
        <v>113</v>
      </c>
    </row>
    <row r="67" spans="1:15">
      <c r="A67" t="s">
        <v>14</v>
      </c>
      <c r="B67" t="s">
        <v>15</v>
      </c>
      <c r="C67" t="s">
        <v>7</v>
      </c>
      <c r="D67" t="s">
        <v>54</v>
      </c>
      <c r="E67" t="b">
        <v>0</v>
      </c>
      <c r="F67" t="b">
        <v>0</v>
      </c>
      <c r="G67" t="b">
        <v>0</v>
      </c>
      <c r="H67" t="b">
        <v>1</v>
      </c>
      <c r="I67" t="b">
        <v>0</v>
      </c>
      <c r="J67" t="s">
        <v>17</v>
      </c>
      <c r="K67">
        <v>4</v>
      </c>
      <c r="L67" t="s">
        <v>18</v>
      </c>
      <c r="M67" t="s">
        <v>128</v>
      </c>
      <c r="N67" t="s">
        <v>122</v>
      </c>
      <c r="O67" t="s">
        <v>113</v>
      </c>
    </row>
    <row r="68" spans="1:15">
      <c r="A68" t="s">
        <v>14</v>
      </c>
      <c r="B68" t="s">
        <v>15</v>
      </c>
      <c r="C68" t="s">
        <v>7</v>
      </c>
      <c r="D68" t="s">
        <v>54</v>
      </c>
      <c r="E68" t="b">
        <v>0</v>
      </c>
      <c r="F68" t="b">
        <v>0</v>
      </c>
      <c r="G68" t="b">
        <v>0</v>
      </c>
      <c r="H68" t="b">
        <v>1</v>
      </c>
      <c r="I68" t="b">
        <v>0</v>
      </c>
      <c r="J68" t="s">
        <v>17</v>
      </c>
      <c r="K68">
        <v>3</v>
      </c>
      <c r="L68" t="s">
        <v>25</v>
      </c>
      <c r="M68" t="s">
        <v>129</v>
      </c>
      <c r="N68" t="s">
        <v>45</v>
      </c>
      <c r="O68" t="s">
        <v>113</v>
      </c>
    </row>
    <row r="69" spans="1:15">
      <c r="A69" t="s">
        <v>14</v>
      </c>
      <c r="B69" t="s">
        <v>15</v>
      </c>
      <c r="C69" t="s">
        <v>5</v>
      </c>
      <c r="D69" t="s">
        <v>54</v>
      </c>
      <c r="E69" t="b">
        <v>0</v>
      </c>
      <c r="F69" t="b">
        <v>1</v>
      </c>
      <c r="G69" t="b">
        <v>0</v>
      </c>
      <c r="H69" t="b">
        <v>0</v>
      </c>
      <c r="I69" t="b">
        <v>0</v>
      </c>
      <c r="J69" t="s">
        <v>17</v>
      </c>
      <c r="K69">
        <v>4</v>
      </c>
      <c r="L69" t="s">
        <v>18</v>
      </c>
      <c r="M69" t="s">
        <v>130</v>
      </c>
      <c r="N69" t="s">
        <v>119</v>
      </c>
      <c r="O69" t="s">
        <v>113</v>
      </c>
    </row>
    <row r="70" spans="1:15">
      <c r="A70" t="s">
        <v>14</v>
      </c>
      <c r="B70" t="s">
        <v>15</v>
      </c>
      <c r="C70" t="s">
        <v>8</v>
      </c>
      <c r="D70" t="s">
        <v>54</v>
      </c>
      <c r="E70" t="b">
        <v>0</v>
      </c>
      <c r="F70" t="b">
        <v>0</v>
      </c>
      <c r="G70" t="b">
        <v>0</v>
      </c>
      <c r="H70" t="b">
        <v>0</v>
      </c>
      <c r="I70" t="b">
        <v>1</v>
      </c>
      <c r="J70" t="s">
        <v>17</v>
      </c>
      <c r="K70">
        <v>3</v>
      </c>
      <c r="L70" t="s">
        <v>25</v>
      </c>
      <c r="M70" t="s">
        <v>131</v>
      </c>
      <c r="N70" t="s">
        <v>132</v>
      </c>
      <c r="O70" t="s">
        <v>113</v>
      </c>
    </row>
    <row r="71" spans="1:15">
      <c r="A71" t="s">
        <v>14</v>
      </c>
      <c r="B71" t="s">
        <v>15</v>
      </c>
      <c r="C71" t="s">
        <v>8</v>
      </c>
      <c r="D71" t="s">
        <v>54</v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s">
        <v>17</v>
      </c>
      <c r="K71">
        <v>3</v>
      </c>
      <c r="L71" t="s">
        <v>25</v>
      </c>
      <c r="M71" t="s">
        <v>133</v>
      </c>
      <c r="N71" t="s">
        <v>134</v>
      </c>
      <c r="O71" t="s">
        <v>113</v>
      </c>
    </row>
    <row r="72" spans="1:15">
      <c r="A72" t="s">
        <v>14</v>
      </c>
      <c r="B72" t="s">
        <v>15</v>
      </c>
      <c r="C72" t="s">
        <v>8</v>
      </c>
      <c r="D72" t="s">
        <v>54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s">
        <v>17</v>
      </c>
      <c r="K72">
        <v>3</v>
      </c>
      <c r="L72" t="s">
        <v>25</v>
      </c>
      <c r="M72" t="s">
        <v>135</v>
      </c>
      <c r="N72" t="s">
        <v>136</v>
      </c>
      <c r="O72" t="s">
        <v>113</v>
      </c>
    </row>
    <row r="73" spans="1:15">
      <c r="A73" t="s">
        <v>14</v>
      </c>
      <c r="B73" t="s">
        <v>15</v>
      </c>
      <c r="C73" t="s">
        <v>8</v>
      </c>
      <c r="D73" t="s">
        <v>54</v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s">
        <v>17</v>
      </c>
      <c r="K73">
        <v>4</v>
      </c>
      <c r="L73" t="s">
        <v>18</v>
      </c>
      <c r="M73" t="s">
        <v>137</v>
      </c>
      <c r="N73" t="s">
        <v>136</v>
      </c>
      <c r="O73" t="s">
        <v>113</v>
      </c>
    </row>
    <row r="74" spans="1:15">
      <c r="A74" t="s">
        <v>14</v>
      </c>
      <c r="B74" t="s">
        <v>15</v>
      </c>
      <c r="C74" t="s">
        <v>8</v>
      </c>
      <c r="D74" t="s">
        <v>54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s">
        <v>17</v>
      </c>
      <c r="K74">
        <v>4</v>
      </c>
      <c r="L74" t="s">
        <v>18</v>
      </c>
      <c r="M74" t="s">
        <v>138</v>
      </c>
      <c r="O74" t="s">
        <v>113</v>
      </c>
    </row>
    <row r="75" spans="1:15">
      <c r="A75" t="s">
        <v>14</v>
      </c>
      <c r="B75" t="s">
        <v>15</v>
      </c>
      <c r="C75" t="s">
        <v>8</v>
      </c>
      <c r="D75" t="s">
        <v>54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s">
        <v>17</v>
      </c>
      <c r="K75">
        <v>4</v>
      </c>
      <c r="L75" t="s">
        <v>18</v>
      </c>
      <c r="M75" t="s">
        <v>139</v>
      </c>
      <c r="O75" t="s">
        <v>113</v>
      </c>
    </row>
    <row r="76" spans="1:15">
      <c r="A76" t="s">
        <v>14</v>
      </c>
      <c r="B76" t="s">
        <v>15</v>
      </c>
      <c r="C76" t="s">
        <v>8</v>
      </c>
      <c r="D76" t="s">
        <v>54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s">
        <v>17</v>
      </c>
      <c r="K76">
        <v>4</v>
      </c>
      <c r="L76" t="s">
        <v>18</v>
      </c>
      <c r="M76" t="s">
        <v>140</v>
      </c>
      <c r="O76" t="s">
        <v>113</v>
      </c>
    </row>
    <row r="77" spans="1:15">
      <c r="A77" t="s">
        <v>14</v>
      </c>
      <c r="B77" t="s">
        <v>15</v>
      </c>
      <c r="C77" t="s">
        <v>8</v>
      </c>
      <c r="D77" t="s">
        <v>54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s">
        <v>17</v>
      </c>
      <c r="K77">
        <v>3</v>
      </c>
      <c r="L77" t="s">
        <v>25</v>
      </c>
      <c r="M77" t="s">
        <v>141</v>
      </c>
      <c r="O77" t="s">
        <v>113</v>
      </c>
    </row>
    <row r="78" spans="1:15">
      <c r="A78" t="s">
        <v>14</v>
      </c>
      <c r="B78" t="s">
        <v>15</v>
      </c>
      <c r="C78" t="s">
        <v>7</v>
      </c>
      <c r="D78" t="s">
        <v>67</v>
      </c>
      <c r="E78" t="b">
        <v>0</v>
      </c>
      <c r="F78" t="b">
        <v>0</v>
      </c>
      <c r="G78" t="b">
        <v>0</v>
      </c>
      <c r="H78" t="b">
        <v>1</v>
      </c>
      <c r="I78" t="b">
        <v>0</v>
      </c>
      <c r="J78" t="s">
        <v>17</v>
      </c>
      <c r="K78">
        <v>4</v>
      </c>
      <c r="L78" t="s">
        <v>18</v>
      </c>
      <c r="M78" t="s">
        <v>142</v>
      </c>
      <c r="O78" t="s">
        <v>113</v>
      </c>
    </row>
    <row r="79" spans="1:15">
      <c r="A79" t="s">
        <v>14</v>
      </c>
      <c r="B79" t="s">
        <v>15</v>
      </c>
      <c r="C79" t="s">
        <v>7</v>
      </c>
      <c r="D79" t="s">
        <v>67</v>
      </c>
      <c r="E79" t="b">
        <v>0</v>
      </c>
      <c r="F79" t="b">
        <v>0</v>
      </c>
      <c r="G79" t="b">
        <v>0</v>
      </c>
      <c r="H79" t="b">
        <v>1</v>
      </c>
      <c r="I79" t="b">
        <v>0</v>
      </c>
      <c r="J79" t="s">
        <v>17</v>
      </c>
      <c r="K79">
        <v>4</v>
      </c>
      <c r="L79" t="s">
        <v>18</v>
      </c>
      <c r="M79" t="s">
        <v>143</v>
      </c>
      <c r="O79" t="s">
        <v>113</v>
      </c>
    </row>
    <row r="80" spans="1:15">
      <c r="A80" t="s">
        <v>14</v>
      </c>
      <c r="B80" t="s">
        <v>15</v>
      </c>
      <c r="C80" t="s">
        <v>5</v>
      </c>
      <c r="D80" t="s">
        <v>67</v>
      </c>
      <c r="E80" t="b">
        <v>0</v>
      </c>
      <c r="F80" t="b">
        <v>1</v>
      </c>
      <c r="G80" t="b">
        <v>0</v>
      </c>
      <c r="H80" t="b">
        <v>0</v>
      </c>
      <c r="I80" t="b">
        <v>0</v>
      </c>
      <c r="J80" t="s">
        <v>17</v>
      </c>
      <c r="K80">
        <v>4</v>
      </c>
      <c r="L80" t="s">
        <v>18</v>
      </c>
      <c r="M80" t="s">
        <v>144</v>
      </c>
      <c r="O80" t="s">
        <v>113</v>
      </c>
    </row>
    <row r="81" spans="1:15">
      <c r="A81" t="s">
        <v>14</v>
      </c>
      <c r="B81" t="s">
        <v>95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s">
        <v>17</v>
      </c>
      <c r="K81">
        <v>0</v>
      </c>
      <c r="M81" t="s">
        <v>145</v>
      </c>
      <c r="N81" t="s">
        <v>146</v>
      </c>
      <c r="O81" t="s">
        <v>8</v>
      </c>
    </row>
    <row r="82" spans="1:15">
      <c r="A82" t="s">
        <v>14</v>
      </c>
      <c r="B82" t="s">
        <v>15</v>
      </c>
      <c r="C82" t="s">
        <v>8</v>
      </c>
      <c r="D82" t="s">
        <v>16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s">
        <v>17</v>
      </c>
      <c r="K82">
        <v>4</v>
      </c>
      <c r="L82" t="s">
        <v>18</v>
      </c>
      <c r="M82" t="s">
        <v>147</v>
      </c>
      <c r="N82" t="s">
        <v>53</v>
      </c>
      <c r="O82" t="s">
        <v>8</v>
      </c>
    </row>
    <row r="83" spans="1:15">
      <c r="A83" t="s">
        <v>14</v>
      </c>
      <c r="B83" t="s">
        <v>15</v>
      </c>
      <c r="C83" t="s">
        <v>8</v>
      </c>
      <c r="D83" t="s">
        <v>16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s">
        <v>17</v>
      </c>
      <c r="K83">
        <v>4</v>
      </c>
      <c r="L83" t="s">
        <v>18</v>
      </c>
      <c r="M83" t="s">
        <v>148</v>
      </c>
      <c r="N83" t="s">
        <v>35</v>
      </c>
      <c r="O83" t="s">
        <v>8</v>
      </c>
    </row>
    <row r="84" spans="1:15">
      <c r="A84" t="s">
        <v>14</v>
      </c>
      <c r="B84" t="s">
        <v>15</v>
      </c>
      <c r="C84" t="s">
        <v>8</v>
      </c>
      <c r="D84" t="s">
        <v>16</v>
      </c>
      <c r="E84" t="b">
        <v>0</v>
      </c>
      <c r="F84" t="b">
        <v>0</v>
      </c>
      <c r="G84" t="b">
        <v>0</v>
      </c>
      <c r="H84" t="b">
        <v>0</v>
      </c>
      <c r="I84" t="b">
        <v>1</v>
      </c>
      <c r="J84" t="s">
        <v>17</v>
      </c>
      <c r="K84">
        <v>4</v>
      </c>
      <c r="L84" t="s">
        <v>18</v>
      </c>
      <c r="M84" t="s">
        <v>149</v>
      </c>
      <c r="N84" t="s">
        <v>53</v>
      </c>
      <c r="O84" t="s">
        <v>8</v>
      </c>
    </row>
    <row r="85" spans="1:15">
      <c r="A85" t="s">
        <v>14</v>
      </c>
      <c r="B85" t="s">
        <v>15</v>
      </c>
      <c r="C85" t="s">
        <v>8</v>
      </c>
      <c r="D85" t="s">
        <v>16</v>
      </c>
      <c r="E85" t="b">
        <v>0</v>
      </c>
      <c r="F85" t="b">
        <v>0</v>
      </c>
      <c r="G85" t="b">
        <v>0</v>
      </c>
      <c r="H85" t="b">
        <v>0</v>
      </c>
      <c r="I85" t="b">
        <v>1</v>
      </c>
      <c r="J85" t="s">
        <v>17</v>
      </c>
      <c r="K85">
        <v>3</v>
      </c>
      <c r="L85" t="s">
        <v>25</v>
      </c>
      <c r="M85" t="s">
        <v>150</v>
      </c>
      <c r="N85" t="s">
        <v>53</v>
      </c>
      <c r="O85" t="s">
        <v>8</v>
      </c>
    </row>
    <row r="86" spans="1:15">
      <c r="A86" t="s">
        <v>14</v>
      </c>
      <c r="B86" t="s">
        <v>15</v>
      </c>
      <c r="C86" t="s">
        <v>8</v>
      </c>
      <c r="D86" t="s">
        <v>16</v>
      </c>
      <c r="E86" t="b">
        <v>0</v>
      </c>
      <c r="F86" t="b">
        <v>0</v>
      </c>
      <c r="G86" t="b">
        <v>0</v>
      </c>
      <c r="H86" t="b">
        <v>0</v>
      </c>
      <c r="I86" t="b">
        <v>1</v>
      </c>
      <c r="J86" t="s">
        <v>17</v>
      </c>
      <c r="K86">
        <v>3</v>
      </c>
      <c r="L86" t="s">
        <v>25</v>
      </c>
      <c r="M86" t="s">
        <v>151</v>
      </c>
      <c r="N86" t="s">
        <v>152</v>
      </c>
      <c r="O86" t="s">
        <v>8</v>
      </c>
    </row>
    <row r="87" spans="1:15">
      <c r="A87" t="s">
        <v>14</v>
      </c>
      <c r="B87" t="s">
        <v>15</v>
      </c>
      <c r="C87" t="s">
        <v>8</v>
      </c>
      <c r="D87" t="s">
        <v>16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s">
        <v>17</v>
      </c>
      <c r="K87">
        <v>4</v>
      </c>
      <c r="L87" t="s">
        <v>18</v>
      </c>
      <c r="M87" t="s">
        <v>153</v>
      </c>
      <c r="N87" t="s">
        <v>53</v>
      </c>
      <c r="O87" t="s">
        <v>8</v>
      </c>
    </row>
    <row r="88" spans="1:15">
      <c r="A88" t="s">
        <v>14</v>
      </c>
      <c r="B88" t="s">
        <v>15</v>
      </c>
      <c r="C88" t="s">
        <v>8</v>
      </c>
      <c r="D88" t="s">
        <v>16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s">
        <v>17</v>
      </c>
      <c r="K88">
        <v>4</v>
      </c>
      <c r="L88" t="s">
        <v>18</v>
      </c>
      <c r="M88" t="s">
        <v>154</v>
      </c>
      <c r="N88" t="s">
        <v>152</v>
      </c>
      <c r="O88" t="s">
        <v>8</v>
      </c>
    </row>
    <row r="89" spans="1:15">
      <c r="A89" t="s">
        <v>14</v>
      </c>
      <c r="B89" t="s">
        <v>15</v>
      </c>
      <c r="C89" t="s">
        <v>8</v>
      </c>
      <c r="D89" t="s">
        <v>16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s">
        <v>17</v>
      </c>
      <c r="K89">
        <v>4</v>
      </c>
      <c r="L89" t="s">
        <v>18</v>
      </c>
      <c r="M89" t="s">
        <v>155</v>
      </c>
      <c r="N89" t="s">
        <v>53</v>
      </c>
      <c r="O89" t="s">
        <v>8</v>
      </c>
    </row>
    <row r="90" spans="1:15">
      <c r="A90" t="s">
        <v>14</v>
      </c>
      <c r="B90" t="s">
        <v>15</v>
      </c>
      <c r="C90" t="s">
        <v>8</v>
      </c>
      <c r="D90" t="s">
        <v>16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s">
        <v>17</v>
      </c>
      <c r="K90">
        <v>4</v>
      </c>
      <c r="L90" t="s">
        <v>18</v>
      </c>
      <c r="M90" t="s">
        <v>156</v>
      </c>
      <c r="N90" t="s">
        <v>53</v>
      </c>
      <c r="O90" t="s">
        <v>8</v>
      </c>
    </row>
    <row r="91" spans="1:15">
      <c r="A91" t="s">
        <v>14</v>
      </c>
      <c r="B91" t="s">
        <v>15</v>
      </c>
      <c r="C91" t="s">
        <v>8</v>
      </c>
      <c r="D91" t="s">
        <v>16</v>
      </c>
      <c r="E91" t="b">
        <v>0</v>
      </c>
      <c r="F91" t="b">
        <v>0</v>
      </c>
      <c r="G91" t="b">
        <v>0</v>
      </c>
      <c r="H91" t="b">
        <v>0</v>
      </c>
      <c r="I91" t="b">
        <v>1</v>
      </c>
      <c r="J91" t="s">
        <v>17</v>
      </c>
      <c r="K91">
        <v>4</v>
      </c>
      <c r="L91" t="s">
        <v>18</v>
      </c>
      <c r="M91" t="s">
        <v>157</v>
      </c>
      <c r="N91" t="s">
        <v>43</v>
      </c>
      <c r="O91" t="s">
        <v>8</v>
      </c>
    </row>
    <row r="92" spans="1:15">
      <c r="A92" t="s">
        <v>14</v>
      </c>
      <c r="B92" t="s">
        <v>15</v>
      </c>
      <c r="C92" t="s">
        <v>6</v>
      </c>
      <c r="D92" t="s">
        <v>16</v>
      </c>
      <c r="E92" t="b">
        <v>0</v>
      </c>
      <c r="F92" t="b">
        <v>0</v>
      </c>
      <c r="G92" t="b">
        <v>1</v>
      </c>
      <c r="H92" t="b">
        <v>0</v>
      </c>
      <c r="I92" t="b">
        <v>0</v>
      </c>
      <c r="J92" t="s">
        <v>17</v>
      </c>
      <c r="K92">
        <v>4</v>
      </c>
      <c r="L92" t="s">
        <v>18</v>
      </c>
      <c r="M92" t="s">
        <v>158</v>
      </c>
      <c r="N92" t="s">
        <v>60</v>
      </c>
      <c r="O92" t="s">
        <v>8</v>
      </c>
    </row>
    <row r="93" spans="1:15">
      <c r="A93" t="s">
        <v>14</v>
      </c>
      <c r="B93" t="s">
        <v>15</v>
      </c>
      <c r="C93" t="s">
        <v>6</v>
      </c>
      <c r="D93" t="s">
        <v>16</v>
      </c>
      <c r="E93" t="b">
        <v>0</v>
      </c>
      <c r="F93" t="b">
        <v>0</v>
      </c>
      <c r="G93" t="b">
        <v>1</v>
      </c>
      <c r="H93" t="b">
        <v>0</v>
      </c>
      <c r="I93" t="b">
        <v>0</v>
      </c>
      <c r="J93" t="s">
        <v>17</v>
      </c>
      <c r="K93">
        <v>3</v>
      </c>
      <c r="L93" t="s">
        <v>25</v>
      </c>
      <c r="M93" t="s">
        <v>159</v>
      </c>
      <c r="N93" t="s">
        <v>160</v>
      </c>
      <c r="O93" t="s">
        <v>8</v>
      </c>
    </row>
    <row r="94" spans="1:15">
      <c r="A94" t="s">
        <v>14</v>
      </c>
      <c r="B94" t="s">
        <v>15</v>
      </c>
      <c r="C94" t="s">
        <v>6</v>
      </c>
      <c r="D94" t="s">
        <v>16</v>
      </c>
      <c r="E94" t="b">
        <v>0</v>
      </c>
      <c r="F94" t="b">
        <v>0</v>
      </c>
      <c r="G94" t="b">
        <v>1</v>
      </c>
      <c r="H94" t="b">
        <v>0</v>
      </c>
      <c r="I94" t="b">
        <v>0</v>
      </c>
      <c r="J94" t="s">
        <v>17</v>
      </c>
      <c r="K94">
        <v>4</v>
      </c>
      <c r="L94" t="s">
        <v>18</v>
      </c>
      <c r="M94" t="s">
        <v>161</v>
      </c>
      <c r="N94" t="s">
        <v>152</v>
      </c>
      <c r="O94" t="s">
        <v>8</v>
      </c>
    </row>
    <row r="95" spans="1:15">
      <c r="A95" t="s">
        <v>14</v>
      </c>
      <c r="B95" t="s">
        <v>15</v>
      </c>
      <c r="C95" t="s">
        <v>7</v>
      </c>
      <c r="D95" t="s">
        <v>54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s">
        <v>17</v>
      </c>
      <c r="K95">
        <v>4</v>
      </c>
      <c r="L95" t="s">
        <v>18</v>
      </c>
      <c r="M95" t="s">
        <v>162</v>
      </c>
      <c r="N95" t="s">
        <v>53</v>
      </c>
      <c r="O95" t="s">
        <v>8</v>
      </c>
    </row>
    <row r="96" spans="1:15">
      <c r="A96" t="s">
        <v>14</v>
      </c>
      <c r="B96" t="s">
        <v>15</v>
      </c>
      <c r="C96" t="s">
        <v>7</v>
      </c>
      <c r="D96" t="s">
        <v>54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s">
        <v>17</v>
      </c>
      <c r="K96">
        <v>4</v>
      </c>
      <c r="L96" t="s">
        <v>18</v>
      </c>
      <c r="M96" t="s">
        <v>163</v>
      </c>
      <c r="N96" t="s">
        <v>119</v>
      </c>
      <c r="O96" t="s">
        <v>8</v>
      </c>
    </row>
    <row r="97" spans="1:15">
      <c r="A97" t="s">
        <v>14</v>
      </c>
      <c r="B97" t="s">
        <v>15</v>
      </c>
      <c r="C97" t="s">
        <v>8</v>
      </c>
      <c r="D97" t="s">
        <v>54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s">
        <v>17</v>
      </c>
      <c r="K97">
        <v>4</v>
      </c>
      <c r="L97" t="s">
        <v>18</v>
      </c>
      <c r="M97" t="s">
        <v>164</v>
      </c>
      <c r="N97" t="s">
        <v>43</v>
      </c>
      <c r="O97" t="s">
        <v>8</v>
      </c>
    </row>
    <row r="98" spans="1:15">
      <c r="A98" t="s">
        <v>14</v>
      </c>
      <c r="B98" t="s">
        <v>15</v>
      </c>
      <c r="C98" t="s">
        <v>8</v>
      </c>
      <c r="D98" t="s">
        <v>54</v>
      </c>
      <c r="E98" t="b">
        <v>0</v>
      </c>
      <c r="F98" t="b">
        <v>0</v>
      </c>
      <c r="G98" t="b">
        <v>0</v>
      </c>
      <c r="H98" t="b">
        <v>0</v>
      </c>
      <c r="I98" t="b">
        <v>1</v>
      </c>
      <c r="J98" t="s">
        <v>17</v>
      </c>
      <c r="K98">
        <v>4</v>
      </c>
      <c r="L98" t="s">
        <v>18</v>
      </c>
      <c r="M98" t="s">
        <v>165</v>
      </c>
      <c r="N98" t="s">
        <v>43</v>
      </c>
      <c r="O98" t="s">
        <v>8</v>
      </c>
    </row>
    <row r="99" spans="1:15">
      <c r="A99" t="s">
        <v>14</v>
      </c>
      <c r="B99" t="s">
        <v>15</v>
      </c>
      <c r="C99" t="s">
        <v>8</v>
      </c>
      <c r="D99" t="s">
        <v>54</v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s">
        <v>17</v>
      </c>
      <c r="K99">
        <v>2</v>
      </c>
      <c r="L99" t="s">
        <v>89</v>
      </c>
      <c r="M99" t="s">
        <v>166</v>
      </c>
      <c r="N99" t="s">
        <v>43</v>
      </c>
      <c r="O99" t="s">
        <v>8</v>
      </c>
    </row>
    <row r="100" spans="1:15">
      <c r="A100" t="s">
        <v>14</v>
      </c>
      <c r="B100" t="s">
        <v>15</v>
      </c>
      <c r="C100" t="s">
        <v>8</v>
      </c>
      <c r="D100" t="s">
        <v>54</v>
      </c>
      <c r="E100" t="b">
        <v>0</v>
      </c>
      <c r="F100" t="b">
        <v>0</v>
      </c>
      <c r="G100" t="b">
        <v>0</v>
      </c>
      <c r="H100" t="b">
        <v>0</v>
      </c>
      <c r="I100" t="b">
        <v>1</v>
      </c>
      <c r="J100" t="s">
        <v>17</v>
      </c>
      <c r="K100">
        <v>3</v>
      </c>
      <c r="L100" t="s">
        <v>25</v>
      </c>
      <c r="M100" t="s">
        <v>167</v>
      </c>
      <c r="O100" t="s">
        <v>8</v>
      </c>
    </row>
    <row r="101" spans="1:15">
      <c r="A101" t="s">
        <v>14</v>
      </c>
      <c r="B101" t="s">
        <v>15</v>
      </c>
      <c r="C101" t="s">
        <v>8</v>
      </c>
      <c r="D101" t="s">
        <v>54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s">
        <v>17</v>
      </c>
      <c r="K101">
        <v>2</v>
      </c>
      <c r="L101" t="s">
        <v>89</v>
      </c>
      <c r="M101" t="s">
        <v>168</v>
      </c>
      <c r="O101" t="s">
        <v>8</v>
      </c>
    </row>
    <row r="102" spans="1:15">
      <c r="A102" t="s">
        <v>14</v>
      </c>
      <c r="B102" t="s">
        <v>15</v>
      </c>
      <c r="C102" t="s">
        <v>8</v>
      </c>
      <c r="D102" t="s">
        <v>54</v>
      </c>
      <c r="E102" t="b">
        <v>0</v>
      </c>
      <c r="F102" t="b">
        <v>0</v>
      </c>
      <c r="G102" t="b">
        <v>0</v>
      </c>
      <c r="H102" t="b">
        <v>0</v>
      </c>
      <c r="I102" t="b">
        <v>1</v>
      </c>
      <c r="J102" t="s">
        <v>17</v>
      </c>
      <c r="K102">
        <v>3</v>
      </c>
      <c r="L102" t="s">
        <v>25</v>
      </c>
      <c r="M102" t="s">
        <v>169</v>
      </c>
      <c r="O102" t="s">
        <v>8</v>
      </c>
    </row>
    <row r="106" spans="1:15">
      <c r="N106" t="s">
        <v>170</v>
      </c>
    </row>
    <row r="107" spans="1:15">
      <c r="N107" t="s">
        <v>21</v>
      </c>
      <c r="O107">
        <f>COUNTIF($O$2:$O$101,N107)</f>
        <v>25</v>
      </c>
    </row>
    <row r="108" spans="1:15">
      <c r="N108" t="s">
        <v>72</v>
      </c>
      <c r="O108">
        <f>COUNTIF($O$2:$O$101,N108)</f>
        <v>29</v>
      </c>
    </row>
    <row r="109" spans="1:15">
      <c r="N109" t="s">
        <v>113</v>
      </c>
      <c r="O109">
        <f t="shared" ref="O109:O110" si="0">COUNTIF($O$2:$O$101,N109)</f>
        <v>25</v>
      </c>
    </row>
    <row r="110" spans="1:15">
      <c r="N110" t="s">
        <v>8</v>
      </c>
      <c r="O110">
        <f t="shared" si="0"/>
        <v>21</v>
      </c>
    </row>
    <row r="111" spans="1:15">
      <c r="A111" t="s">
        <v>171</v>
      </c>
      <c r="B111" t="s">
        <v>172</v>
      </c>
      <c r="C111" t="s">
        <v>173</v>
      </c>
      <c r="O111">
        <f>SUM(O107:O110)</f>
        <v>100</v>
      </c>
    </row>
    <row r="112" spans="1:15">
      <c r="A112">
        <v>0</v>
      </c>
      <c r="B112">
        <f>D116</f>
        <v>0</v>
      </c>
      <c r="C112">
        <v>0</v>
      </c>
    </row>
    <row r="113" spans="1:4">
      <c r="A113">
        <v>1</v>
      </c>
      <c r="B113">
        <f t="shared" ref="B113:B116" si="1">COUNTIF($K$2:$K$101,A113)</f>
        <v>3</v>
      </c>
      <c r="C113">
        <v>3</v>
      </c>
    </row>
    <row r="114" spans="1:4">
      <c r="A114">
        <v>2</v>
      </c>
      <c r="B114">
        <f t="shared" si="1"/>
        <v>3</v>
      </c>
      <c r="C114">
        <v>6</v>
      </c>
    </row>
    <row r="115" spans="1:4">
      <c r="A115">
        <v>3</v>
      </c>
      <c r="B115">
        <f t="shared" si="1"/>
        <v>39</v>
      </c>
      <c r="C115">
        <v>120</v>
      </c>
    </row>
    <row r="116" spans="1:4">
      <c r="A116">
        <v>4</v>
      </c>
      <c r="B116">
        <f t="shared" si="1"/>
        <v>53</v>
      </c>
      <c r="C116">
        <v>212</v>
      </c>
    </row>
    <row r="117" spans="1:4">
      <c r="D117" t="s">
        <v>174</v>
      </c>
    </row>
    <row r="118" spans="1:4">
      <c r="B118">
        <f>SUM(B112:B116)</f>
        <v>98</v>
      </c>
      <c r="C118">
        <f>SUM(C112:C116)</f>
        <v>341</v>
      </c>
      <c r="D118">
        <f>C118/B118</f>
        <v>3.4795918367346941</v>
      </c>
    </row>
  </sheetData>
  <sortState xmlns:xlrd2="http://schemas.microsoft.com/office/spreadsheetml/2017/richdata2" ref="A2:O102">
    <sortCondition ref="O2:O102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468e2c3e5a770857ccfc34ae05fea365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c63d7f9a51a94b75c1701171cd2086e6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Props1.xml><?xml version="1.0" encoding="utf-8"?>
<ds:datastoreItem xmlns:ds="http://schemas.openxmlformats.org/officeDocument/2006/customXml" ds:itemID="{E2B7B5DF-E8E1-491A-BF8E-7360E8DD5284}"/>
</file>

<file path=customXml/itemProps2.xml><?xml version="1.0" encoding="utf-8"?>
<ds:datastoreItem xmlns:ds="http://schemas.openxmlformats.org/officeDocument/2006/customXml" ds:itemID="{87FDD7AE-B892-4FE8-91A6-AC23F74F67DD}"/>
</file>

<file path=customXml/itemProps3.xml><?xml version="1.0" encoding="utf-8"?>
<ds:datastoreItem xmlns:ds="http://schemas.openxmlformats.org/officeDocument/2006/customXml" ds:itemID="{0653EB60-7EE8-49F0-8FA6-78C5686A0B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24253852 - James Akinloye-Oyeleke</cp:lastModifiedBy>
  <cp:revision/>
  <dcterms:created xsi:type="dcterms:W3CDTF">2026-01-17T07:53:50Z</dcterms:created>
  <dcterms:modified xsi:type="dcterms:W3CDTF">2026-04-26T23:22:30Z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  <property fmtid="{D5CDD505-2E9C-101B-9397-08002B2CF9AE}" pid="3" name="MediaServiceImageTags">
    <vt:lpwstr/>
  </property>
</Properties>
</file>